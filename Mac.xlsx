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Negar\University2\"/>
    </mc:Choice>
  </mc:AlternateContent>
  <xr:revisionPtr revIDLastSave="0" documentId="13_ncr:1_{9CD63677-3E45-4CE5-AE7B-C92DFA297CFD}" xr6:coauthVersionLast="47" xr6:coauthVersionMax="47" xr10:uidLastSave="{00000000-0000-0000-0000-000000000000}"/>
  <bookViews>
    <workbookView xWindow="-98" yWindow="-98" windowWidth="24496" windowHeight="15675" xr2:uid="{C25832E4-7E68-420B-AB58-E9B6C261E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J3" i="1"/>
  <c r="J4" i="1" s="1"/>
  <c r="H20" i="1"/>
  <c r="I20" i="1" s="1"/>
  <c r="O15" i="1"/>
  <c r="P15" i="1" s="1"/>
  <c r="Q15" i="1" s="1"/>
  <c r="I15" i="1"/>
  <c r="O14" i="1"/>
  <c r="P14" i="1" s="1"/>
  <c r="Q14" i="1" s="1"/>
  <c r="I14" i="1"/>
  <c r="M3" i="1"/>
  <c r="M2" i="1"/>
  <c r="O2" i="1"/>
  <c r="P2" i="1" s="1"/>
  <c r="Q2" i="1" s="1"/>
  <c r="H3" i="1"/>
  <c r="H4" i="1" s="1"/>
  <c r="H5" i="1" s="1"/>
  <c r="I2" i="1"/>
  <c r="K2" i="1" s="1"/>
  <c r="J5" i="1" l="1"/>
  <c r="M5" i="1" s="1"/>
  <c r="M4" i="1"/>
  <c r="O5" i="1"/>
  <c r="P5" i="1" s="1"/>
  <c r="Q5" i="1" s="1"/>
  <c r="H6" i="1"/>
  <c r="O3" i="1"/>
  <c r="P3" i="1" s="1"/>
  <c r="Q3" i="1" s="1"/>
  <c r="I5" i="1"/>
  <c r="I4" i="1"/>
  <c r="K4" i="1" s="1"/>
  <c r="O4" i="1"/>
  <c r="P4" i="1" s="1"/>
  <c r="Q4" i="1" s="1"/>
  <c r="H7" i="1"/>
  <c r="I3" i="1"/>
  <c r="K3" i="1" s="1"/>
  <c r="J6" i="1" l="1"/>
  <c r="M6" i="1" s="1"/>
  <c r="K5" i="1"/>
  <c r="O6" i="1"/>
  <c r="P6" i="1" s="1"/>
  <c r="Q6" i="1" s="1"/>
  <c r="I6" i="1"/>
  <c r="I7" i="1"/>
  <c r="O7" i="1"/>
  <c r="P7" i="1" s="1"/>
  <c r="Q7" i="1" s="1"/>
  <c r="H8" i="1"/>
  <c r="K7" i="1" l="1"/>
  <c r="J7" i="1"/>
  <c r="K6" i="1"/>
  <c r="M7" i="1"/>
  <c r="J8" i="1"/>
  <c r="H9" i="1"/>
  <c r="O8" i="1"/>
  <c r="P8" i="1" s="1"/>
  <c r="Q8" i="1" s="1"/>
  <c r="I8" i="1"/>
  <c r="K8" i="1" s="1"/>
  <c r="H11" i="1" l="1"/>
  <c r="O11" i="1" s="1"/>
  <c r="P11" i="1" s="1"/>
  <c r="Q11" i="1" s="1"/>
  <c r="H10" i="1"/>
  <c r="M8" i="1"/>
  <c r="J9" i="1"/>
  <c r="I9" i="1"/>
  <c r="K9" i="1" s="1"/>
  <c r="O9" i="1"/>
  <c r="P9" i="1" s="1"/>
  <c r="Q9" i="1" s="1"/>
  <c r="I11" i="1" l="1"/>
  <c r="H12" i="1"/>
  <c r="O10" i="1"/>
  <c r="P10" i="1" s="1"/>
  <c r="Q10" i="1" s="1"/>
  <c r="I10" i="1"/>
  <c r="J10" i="1"/>
  <c r="M9" i="1"/>
  <c r="O12" i="1"/>
  <c r="P12" i="1" s="1"/>
  <c r="Q12" i="1" s="1"/>
  <c r="I12" i="1"/>
  <c r="J11" i="1" l="1"/>
  <c r="M10" i="1"/>
  <c r="K10" i="1"/>
  <c r="J12" i="1" l="1"/>
  <c r="M11" i="1"/>
  <c r="K11" i="1"/>
  <c r="M12" i="1" l="1"/>
  <c r="J13" i="1"/>
  <c r="J14" i="1" s="1"/>
  <c r="J15" i="1" s="1"/>
  <c r="K12" i="1"/>
  <c r="M15" i="1" l="1"/>
  <c r="K15" i="1"/>
  <c r="M14" i="1"/>
  <c r="K14" i="1"/>
</calcChain>
</file>

<file path=xl/sharedStrings.xml><?xml version="1.0" encoding="utf-8"?>
<sst xmlns="http://schemas.openxmlformats.org/spreadsheetml/2006/main" count="23" uniqueCount="14">
  <si>
    <t>m3 pro</t>
  </si>
  <si>
    <t>CPU</t>
  </si>
  <si>
    <t>GPU</t>
  </si>
  <si>
    <t>Mem</t>
  </si>
  <si>
    <t>Hard</t>
  </si>
  <si>
    <t>لیر</t>
  </si>
  <si>
    <t>m3 max</t>
  </si>
  <si>
    <t>m3 air</t>
  </si>
  <si>
    <t>قسمت هر لیر</t>
  </si>
  <si>
    <t>قیمت هر دلار</t>
  </si>
  <si>
    <t>قیمت ایران</t>
  </si>
  <si>
    <t>قیت لیر</t>
  </si>
  <si>
    <t>قیمت دلاری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</si>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</sst>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2" fillId="0" borderId="0" xfId="0" applyNumberFormat="1" applyFont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2B2B-D1E9-406E-BBF5-9120BAD5D06E}">
  <dimension ref="A1:Q20"/>
  <sheetViews>
    <sheetView tabSelected="1" workbookViewId="0">
      <selection activeCell="S4" sqref="S4"/>
    </sheetView>
  </sheetViews>
  <sheetFormatPr defaultColWidth="8.796875" defaultRowHeight="18" x14ac:dyDescent="0.55000000000000004"/>
  <cols>
    <col min="1" max="1" width="8.86328125" style="1" bestFit="1" customWidth="1"/>
    <col min="2" max="2" width="5.265625" style="1" bestFit="1" customWidth="1"/>
    <col min="3" max="3" width="5.33203125" style="1" bestFit="1" customWidth="1"/>
    <col min="4" max="4" width="5.796875" style="1" bestFit="1" customWidth="1"/>
    <col min="5" max="5" width="5.9296875" style="1" bestFit="1" customWidth="1"/>
    <col min="6" max="6" width="7.19921875" style="1" bestFit="1" customWidth="1"/>
    <col min="7" max="7" width="13.86328125" style="1" bestFit="1" customWidth="1"/>
    <col min="8" max="8" width="11.6640625" style="1" bestFit="1" customWidth="1"/>
    <col min="9" max="9" width="18.3984375" style="1" bestFit="1" customWidth="1"/>
    <col min="10" max="10" width="11.53125" style="1" bestFit="1" customWidth="1"/>
    <col min="11" max="11" width="8.796875" style="1"/>
    <col min="12" max="12" width="15.1328125" style="1" bestFit="1" customWidth="1"/>
    <col min="13" max="13" width="10.265625" style="1" bestFit="1" customWidth="1"/>
    <col min="14" max="14" width="10.265625" style="1" customWidth="1"/>
    <col min="15" max="15" width="13.86328125" style="1" bestFit="1" customWidth="1"/>
    <col min="16" max="16" width="10.06640625" style="1" bestFit="1" customWidth="1"/>
    <col min="17" max="17" width="15.86328125" style="2" bestFit="1" customWidth="1"/>
    <col min="18" max="16384" width="8.796875" style="1"/>
  </cols>
  <sheetData>
    <row r="1" spans="1:17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8</v>
      </c>
      <c r="J1" s="1" t="s">
        <v>9</v>
      </c>
      <c r="L1" s="1" t="s">
        <v>10</v>
      </c>
      <c r="M1" s="1" t="s">
        <v>12</v>
      </c>
      <c r="O1" s="1" t="s">
        <v>11</v>
      </c>
    </row>
    <row r="2" spans="1:17" x14ac:dyDescent="0.55000000000000004">
      <c r="A2" s="1" t="s">
        <v>0</v>
      </c>
      <c r="B2" s="1">
        <v>12</v>
      </c>
      <c r="C2" s="1">
        <v>18</v>
      </c>
      <c r="D2" s="1">
        <v>18</v>
      </c>
      <c r="E2" s="1">
        <v>512</v>
      </c>
      <c r="G2" s="2">
        <v>104000</v>
      </c>
      <c r="H2" s="2">
        <v>1750</v>
      </c>
      <c r="I2" s="2">
        <f t="shared" ref="I2:I7" si="0">G2*H2</f>
        <v>182000000</v>
      </c>
      <c r="J2" s="2">
        <v>59500</v>
      </c>
      <c r="K2" s="2">
        <f>I2/J2</f>
        <v>3058.8235294117649</v>
      </c>
      <c r="L2" s="2">
        <v>135000000</v>
      </c>
      <c r="M2" s="2">
        <f>L2/J2</f>
        <v>2268.90756302521</v>
      </c>
      <c r="N2" s="2">
        <f>K2-M2</f>
        <v>789.91596638655483</v>
      </c>
      <c r="O2" s="2">
        <f t="shared" ref="O2:O3" si="1">L2/H2</f>
        <v>77142.857142857145</v>
      </c>
      <c r="P2" s="3">
        <f>G2-O2</f>
        <v>26857.142857142855</v>
      </c>
      <c r="Q2" s="2">
        <f>P2*H2</f>
        <v>47000000</v>
      </c>
    </row>
    <row r="3" spans="1:17" x14ac:dyDescent="0.55000000000000004">
      <c r="A3" s="1" t="s">
        <v>0</v>
      </c>
      <c r="B3" s="1">
        <v>12</v>
      </c>
      <c r="C3" s="1">
        <v>18</v>
      </c>
      <c r="D3" s="1">
        <v>32</v>
      </c>
      <c r="E3" s="1">
        <v>512</v>
      </c>
      <c r="G3" s="2">
        <v>120000</v>
      </c>
      <c r="H3" s="2">
        <f>H2</f>
        <v>1750</v>
      </c>
      <c r="I3" s="2">
        <f t="shared" si="0"/>
        <v>210000000</v>
      </c>
      <c r="J3" s="2">
        <f>J2</f>
        <v>59500</v>
      </c>
      <c r="K3" s="2">
        <f t="shared" ref="K3:K9" si="2">I3/J3</f>
        <v>3529.4117647058824</v>
      </c>
      <c r="L3" s="2">
        <v>135000000</v>
      </c>
      <c r="M3" s="2">
        <f t="shared" ref="M3:M9" si="3">L3/J3</f>
        <v>2268.90756302521</v>
      </c>
      <c r="N3" s="2">
        <f t="shared" ref="N3:N15" si="4">K3-M3</f>
        <v>1260.5042016806724</v>
      </c>
      <c r="O3" s="2">
        <f t="shared" si="1"/>
        <v>77142.857142857145</v>
      </c>
      <c r="P3" s="3">
        <f t="shared" ref="P3:P9" si="5">G3-O3</f>
        <v>42857.142857142855</v>
      </c>
      <c r="Q3" s="2">
        <f t="shared" ref="Q3:Q9" si="6">P3*H3</f>
        <v>75000000</v>
      </c>
    </row>
    <row r="4" spans="1:17" x14ac:dyDescent="0.55000000000000004">
      <c r="A4" s="1" t="s">
        <v>6</v>
      </c>
      <c r="B4" s="1">
        <v>14</v>
      </c>
      <c r="C4" s="1">
        <v>30</v>
      </c>
      <c r="D4" s="1">
        <v>36</v>
      </c>
      <c r="E4" s="1">
        <v>1000</v>
      </c>
      <c r="G4" s="3">
        <v>144000</v>
      </c>
      <c r="H4" s="2">
        <f>H3</f>
        <v>1750</v>
      </c>
      <c r="I4" s="2">
        <f t="shared" si="0"/>
        <v>252000000</v>
      </c>
      <c r="J4" s="2">
        <f t="shared" ref="J4:J14" si="7">J3</f>
        <v>59500</v>
      </c>
      <c r="K4" s="2">
        <f t="shared" si="2"/>
        <v>4235.2941176470586</v>
      </c>
      <c r="L4" s="2">
        <v>185000000</v>
      </c>
      <c r="M4" s="2">
        <f t="shared" si="3"/>
        <v>3109.2436974789916</v>
      </c>
      <c r="N4" s="2">
        <f t="shared" si="4"/>
        <v>1126.0504201680669</v>
      </c>
      <c r="O4" s="2">
        <f>L4/H4</f>
        <v>105714.28571428571</v>
      </c>
      <c r="P4" s="3">
        <f t="shared" si="5"/>
        <v>38285.71428571429</v>
      </c>
      <c r="Q4" s="2">
        <f t="shared" si="6"/>
        <v>67000000.000000007</v>
      </c>
    </row>
    <row r="5" spans="1:17" x14ac:dyDescent="0.55000000000000004">
      <c r="A5" s="1" t="s">
        <v>13</v>
      </c>
      <c r="B5" s="1">
        <v>40</v>
      </c>
      <c r="C5" s="1">
        <v>48</v>
      </c>
      <c r="D5" s="1">
        <v>48</v>
      </c>
      <c r="E5" s="1">
        <v>1000</v>
      </c>
      <c r="G5" s="3">
        <v>144000</v>
      </c>
      <c r="H5" s="2">
        <f>H4</f>
        <v>1750</v>
      </c>
      <c r="I5" s="2">
        <f t="shared" si="0"/>
        <v>252000000</v>
      </c>
      <c r="J5" s="2">
        <f t="shared" si="7"/>
        <v>59500</v>
      </c>
      <c r="K5" s="2">
        <f t="shared" ref="K5" si="8">I5/J5</f>
        <v>4235.2941176470586</v>
      </c>
      <c r="L5" s="2">
        <v>218000000</v>
      </c>
      <c r="M5" s="2">
        <f t="shared" ref="M5" si="9">L5/J5</f>
        <v>3663.8655462184875</v>
      </c>
      <c r="N5" s="2">
        <f t="shared" si="4"/>
        <v>571.4285714285711</v>
      </c>
      <c r="O5" s="2">
        <f>L5/H5</f>
        <v>124571.42857142857</v>
      </c>
      <c r="P5" s="3">
        <f t="shared" si="5"/>
        <v>19428.571428571435</v>
      </c>
      <c r="Q5" s="2">
        <f t="shared" si="6"/>
        <v>34000000.000000007</v>
      </c>
    </row>
    <row r="6" spans="1:17" x14ac:dyDescent="0.55000000000000004">
      <c r="A6" s="1" t="s">
        <v>13</v>
      </c>
      <c r="B6" s="1">
        <v>16</v>
      </c>
      <c r="C6" s="1">
        <v>48</v>
      </c>
      <c r="D6" s="1">
        <v>48</v>
      </c>
      <c r="E6" s="1">
        <v>1000</v>
      </c>
      <c r="G6" s="3">
        <v>162000</v>
      </c>
      <c r="H6" s="2">
        <f>H5</f>
        <v>1750</v>
      </c>
      <c r="I6" s="2">
        <f t="shared" si="0"/>
        <v>283500000</v>
      </c>
      <c r="J6" s="2">
        <f t="shared" si="7"/>
        <v>59500</v>
      </c>
      <c r="K6" s="2">
        <f t="shared" ref="K6" si="10">I6/J6</f>
        <v>4764.7058823529414</v>
      </c>
      <c r="L6" s="2">
        <v>218000000</v>
      </c>
      <c r="M6" s="2">
        <f t="shared" ref="M6" si="11">L6/J6</f>
        <v>3663.8655462184875</v>
      </c>
      <c r="N6" s="2">
        <f t="shared" si="4"/>
        <v>1100.840336134454</v>
      </c>
      <c r="O6" s="2">
        <f>L6/H6</f>
        <v>124571.42857142857</v>
      </c>
      <c r="P6" s="3">
        <f t="shared" si="5"/>
        <v>37428.571428571435</v>
      </c>
      <c r="Q6" s="2">
        <f t="shared" si="6"/>
        <v>65500000.000000007</v>
      </c>
    </row>
    <row r="7" spans="1:17" x14ac:dyDescent="0.55000000000000004">
      <c r="A7" s="1" t="s">
        <v>7</v>
      </c>
      <c r="B7" s="1">
        <v>8</v>
      </c>
      <c r="C7" s="1">
        <v>10</v>
      </c>
      <c r="D7" s="1">
        <v>8</v>
      </c>
      <c r="E7" s="1">
        <v>256</v>
      </c>
      <c r="G7" s="3">
        <v>55000</v>
      </c>
      <c r="H7" s="2">
        <f>H4</f>
        <v>1750</v>
      </c>
      <c r="I7" s="2">
        <f t="shared" si="0"/>
        <v>96250000</v>
      </c>
      <c r="J7" s="2">
        <f t="shared" si="7"/>
        <v>59500</v>
      </c>
      <c r="K7" s="2">
        <f t="shared" si="2"/>
        <v>1617.6470588235295</v>
      </c>
      <c r="L7" s="2">
        <v>73000000</v>
      </c>
      <c r="M7" s="2">
        <f t="shared" si="3"/>
        <v>1226.8907563025209</v>
      </c>
      <c r="N7" s="2">
        <f t="shared" si="4"/>
        <v>390.75630252100859</v>
      </c>
      <c r="O7" s="2">
        <f t="shared" ref="O7:O9" si="12">L7/H7</f>
        <v>41714.285714285717</v>
      </c>
      <c r="P7" s="3">
        <f t="shared" si="5"/>
        <v>13285.714285714283</v>
      </c>
      <c r="Q7" s="2">
        <f t="shared" si="6"/>
        <v>23249999.999999996</v>
      </c>
    </row>
    <row r="8" spans="1:17" x14ac:dyDescent="0.55000000000000004">
      <c r="A8" s="1" t="s">
        <v>7</v>
      </c>
      <c r="B8" s="1">
        <v>8</v>
      </c>
      <c r="C8" s="1">
        <v>10</v>
      </c>
      <c r="D8" s="1">
        <v>8</v>
      </c>
      <c r="E8" s="1">
        <v>512</v>
      </c>
      <c r="G8" s="3">
        <v>64000</v>
      </c>
      <c r="H8" s="2">
        <f t="shared" ref="H8:H12" si="13">H7</f>
        <v>1750</v>
      </c>
      <c r="I8" s="2">
        <f t="shared" ref="I8:I9" si="14">G8*H8</f>
        <v>112000000</v>
      </c>
      <c r="J8" s="2">
        <f t="shared" si="7"/>
        <v>59500</v>
      </c>
      <c r="K8" s="2">
        <f t="shared" si="2"/>
        <v>1882.3529411764705</v>
      </c>
      <c r="L8" s="2"/>
      <c r="M8" s="2">
        <f t="shared" si="3"/>
        <v>0</v>
      </c>
      <c r="N8" s="2">
        <f t="shared" si="4"/>
        <v>1882.3529411764705</v>
      </c>
      <c r="O8" s="2">
        <f t="shared" si="12"/>
        <v>0</v>
      </c>
      <c r="P8" s="3">
        <f t="shared" si="5"/>
        <v>64000</v>
      </c>
      <c r="Q8" s="2">
        <f t="shared" si="6"/>
        <v>112000000</v>
      </c>
    </row>
    <row r="9" spans="1:17" x14ac:dyDescent="0.55000000000000004">
      <c r="A9" s="1" t="s">
        <v>7</v>
      </c>
      <c r="B9" s="1">
        <v>8</v>
      </c>
      <c r="C9" s="1">
        <v>10</v>
      </c>
      <c r="D9" s="1">
        <v>16</v>
      </c>
      <c r="E9" s="1">
        <v>512</v>
      </c>
      <c r="G9" s="3">
        <v>72000</v>
      </c>
      <c r="H9" s="2">
        <f t="shared" si="13"/>
        <v>1750</v>
      </c>
      <c r="I9" s="2">
        <f t="shared" si="14"/>
        <v>126000000</v>
      </c>
      <c r="J9" s="2">
        <f t="shared" si="7"/>
        <v>59500</v>
      </c>
      <c r="K9" s="2">
        <f t="shared" si="2"/>
        <v>2117.6470588235293</v>
      </c>
      <c r="L9" s="2">
        <v>95000000</v>
      </c>
      <c r="M9" s="2">
        <f t="shared" si="3"/>
        <v>1596.6386554621849</v>
      </c>
      <c r="N9" s="2">
        <f t="shared" si="4"/>
        <v>521.00840336134434</v>
      </c>
      <c r="O9" s="2">
        <f t="shared" si="12"/>
        <v>54285.714285714283</v>
      </c>
      <c r="P9" s="3">
        <f t="shared" si="5"/>
        <v>17714.285714285717</v>
      </c>
      <c r="Q9" s="2">
        <f t="shared" si="6"/>
        <v>31000000.000000004</v>
      </c>
    </row>
    <row r="10" spans="1:17" x14ac:dyDescent="0.55000000000000004">
      <c r="A10" s="1" t="s">
        <v>7</v>
      </c>
      <c r="B10" s="1">
        <v>8</v>
      </c>
      <c r="C10" s="1">
        <v>10</v>
      </c>
      <c r="D10" s="1">
        <v>24</v>
      </c>
      <c r="E10" s="1">
        <v>512</v>
      </c>
      <c r="G10" s="3">
        <v>79000</v>
      </c>
      <c r="H10" s="2">
        <f t="shared" si="13"/>
        <v>1750</v>
      </c>
      <c r="I10" s="2">
        <f t="shared" ref="I10" si="15">G10*H10</f>
        <v>138250000</v>
      </c>
      <c r="J10" s="2">
        <f t="shared" si="7"/>
        <v>59500</v>
      </c>
      <c r="K10" s="2">
        <f t="shared" ref="K10" si="16">I10/J10</f>
        <v>2323.5294117647059</v>
      </c>
      <c r="L10" s="2">
        <v>95000000</v>
      </c>
      <c r="M10" s="2">
        <f t="shared" ref="M10" si="17">L10/J10</f>
        <v>1596.6386554621849</v>
      </c>
      <c r="N10" s="2">
        <f t="shared" si="4"/>
        <v>726.89075630252091</v>
      </c>
      <c r="O10" s="2">
        <f t="shared" ref="O10" si="18">L10/H10</f>
        <v>54285.714285714283</v>
      </c>
      <c r="P10" s="3">
        <f t="shared" ref="P10" si="19">G10-O10</f>
        <v>24714.285714285717</v>
      </c>
      <c r="Q10" s="2">
        <f t="shared" ref="Q10" si="20">P10*H10</f>
        <v>43250000.000000007</v>
      </c>
    </row>
    <row r="11" spans="1:17" x14ac:dyDescent="0.55000000000000004">
      <c r="A11" s="1" t="s">
        <v>7</v>
      </c>
      <c r="B11" s="1">
        <v>8</v>
      </c>
      <c r="C11" s="1">
        <v>10</v>
      </c>
      <c r="D11" s="1">
        <v>16</v>
      </c>
      <c r="E11" s="1">
        <v>1000</v>
      </c>
      <c r="G11" s="3"/>
      <c r="H11" s="2">
        <f>H9</f>
        <v>1750</v>
      </c>
      <c r="I11" s="2">
        <f t="shared" ref="I11" si="21">G11*H11</f>
        <v>0</v>
      </c>
      <c r="J11" s="2">
        <f t="shared" si="7"/>
        <v>59500</v>
      </c>
      <c r="K11" s="2">
        <f t="shared" ref="K11" si="22">I11/J11</f>
        <v>0</v>
      </c>
      <c r="L11" s="2">
        <v>127300000</v>
      </c>
      <c r="M11" s="2">
        <f t="shared" ref="M11" si="23">L11/J11</f>
        <v>2139.4957983193276</v>
      </c>
      <c r="N11" s="2">
        <f t="shared" si="4"/>
        <v>-2139.4957983193276</v>
      </c>
      <c r="O11" s="2">
        <f t="shared" ref="O11" si="24">L11/H11</f>
        <v>72742.857142857145</v>
      </c>
      <c r="P11" s="3">
        <f t="shared" ref="P11" si="25">G11-O11</f>
        <v>-72742.857142857145</v>
      </c>
      <c r="Q11" s="2">
        <f t="shared" ref="Q11" si="26">P11*H11</f>
        <v>-127300000</v>
      </c>
    </row>
    <row r="12" spans="1:17" x14ac:dyDescent="0.55000000000000004">
      <c r="A12" s="1" t="s">
        <v>7</v>
      </c>
      <c r="B12" s="1">
        <v>8</v>
      </c>
      <c r="C12" s="1">
        <v>10</v>
      </c>
      <c r="D12" s="1">
        <v>16</v>
      </c>
      <c r="E12" s="1">
        <v>256</v>
      </c>
      <c r="G12" s="3"/>
      <c r="H12" s="2">
        <f t="shared" si="13"/>
        <v>1750</v>
      </c>
      <c r="I12" s="2">
        <f t="shared" ref="I12" si="27">G12*H12</f>
        <v>0</v>
      </c>
      <c r="J12" s="2">
        <f t="shared" si="7"/>
        <v>59500</v>
      </c>
      <c r="K12" s="2">
        <f t="shared" ref="K12" si="28">I12/J12</f>
        <v>0</v>
      </c>
      <c r="L12" s="2">
        <v>99500000</v>
      </c>
      <c r="M12" s="2">
        <f t="shared" ref="M12" si="29">L12/J12</f>
        <v>1672.2689075630253</v>
      </c>
      <c r="N12" s="2">
        <f t="shared" si="4"/>
        <v>-1672.2689075630253</v>
      </c>
      <c r="O12" s="2">
        <f t="shared" ref="O12" si="30">L12/H12</f>
        <v>56857.142857142855</v>
      </c>
      <c r="P12" s="3">
        <f t="shared" ref="P12" si="31">G12-O12</f>
        <v>-56857.142857142855</v>
      </c>
      <c r="Q12" s="2">
        <f t="shared" ref="Q12" si="32">P12*H12</f>
        <v>-99500000</v>
      </c>
    </row>
    <row r="13" spans="1:17" x14ac:dyDescent="0.55000000000000004">
      <c r="J13" s="2">
        <f t="shared" si="7"/>
        <v>59500</v>
      </c>
      <c r="N13" s="2">
        <f t="shared" si="4"/>
        <v>0</v>
      </c>
    </row>
    <row r="14" spans="1:17" x14ac:dyDescent="0.55000000000000004">
      <c r="A14" s="1" t="s">
        <v>0</v>
      </c>
      <c r="B14" s="1">
        <v>11</v>
      </c>
      <c r="C14" s="1">
        <v>14</v>
      </c>
      <c r="D14" s="1">
        <v>18</v>
      </c>
      <c r="E14" s="1">
        <v>512</v>
      </c>
      <c r="F14" s="1">
        <v>14</v>
      </c>
      <c r="G14" s="2"/>
      <c r="H14" s="2">
        <v>1750</v>
      </c>
      <c r="I14" s="2">
        <f t="shared" ref="I14" si="33">G14*H14</f>
        <v>0</v>
      </c>
      <c r="J14" s="2">
        <f t="shared" si="7"/>
        <v>59500</v>
      </c>
      <c r="K14" s="2">
        <f>I14/J14</f>
        <v>0</v>
      </c>
      <c r="L14" s="2">
        <v>107000000</v>
      </c>
      <c r="M14" s="2">
        <f>L14/J14</f>
        <v>1798.3193277310925</v>
      </c>
      <c r="N14" s="2">
        <f t="shared" si="4"/>
        <v>-1798.3193277310925</v>
      </c>
      <c r="O14" s="2">
        <f t="shared" ref="O14" si="34">L14/H14</f>
        <v>61142.857142857145</v>
      </c>
      <c r="P14" s="3">
        <f>G14-O14</f>
        <v>-61142.857142857145</v>
      </c>
      <c r="Q14" s="2">
        <f>P14*H14</f>
        <v>-107000000</v>
      </c>
    </row>
    <row r="15" spans="1:17" x14ac:dyDescent="0.55000000000000004">
      <c r="A15" s="1" t="s">
        <v>0</v>
      </c>
      <c r="B15" s="1">
        <v>12</v>
      </c>
      <c r="C15" s="1">
        <v>19</v>
      </c>
      <c r="D15" s="1">
        <v>15</v>
      </c>
      <c r="E15" s="1">
        <v>512</v>
      </c>
      <c r="F15" s="1">
        <v>15</v>
      </c>
      <c r="G15" s="2"/>
      <c r="H15" s="2">
        <v>1750</v>
      </c>
      <c r="I15" s="2">
        <f t="shared" ref="I15" si="35">G15*H15</f>
        <v>0</v>
      </c>
      <c r="J15" s="2">
        <f>J14</f>
        <v>59500</v>
      </c>
      <c r="K15" s="2">
        <f>I15/J15</f>
        <v>0</v>
      </c>
      <c r="L15" s="2">
        <v>112000000</v>
      </c>
      <c r="M15" s="2">
        <f>L15/J15</f>
        <v>1882.3529411764705</v>
      </c>
      <c r="N15" s="2">
        <f t="shared" si="4"/>
        <v>-1882.3529411764705</v>
      </c>
      <c r="O15" s="2">
        <f t="shared" ref="O15" si="36">L15/H15</f>
        <v>64000</v>
      </c>
      <c r="P15" s="3">
        <f>G15-O15</f>
        <v>-64000</v>
      </c>
      <c r="Q15" s="2">
        <f>P15*H15</f>
        <v>-112000000</v>
      </c>
    </row>
    <row r="20" spans="6:9" x14ac:dyDescent="0.55000000000000004">
      <c r="F20" s="2">
        <v>5000</v>
      </c>
      <c r="G20" s="2">
        <v>38</v>
      </c>
      <c r="H20" s="2">
        <f>F20*G20</f>
        <v>190000</v>
      </c>
      <c r="I20" s="4">
        <f>H20/37</f>
        <v>5135.135135135135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Abelehkoub</dc:creator>
  <cp:lastModifiedBy>mohammad Abelehkoub</cp:lastModifiedBy>
  <dcterms:created xsi:type="dcterms:W3CDTF">2024-08-28T09:07:17Z</dcterms:created>
  <dcterms:modified xsi:type="dcterms:W3CDTF">2024-08-30T15:15:28Z</dcterms:modified>
</cp:coreProperties>
</file>